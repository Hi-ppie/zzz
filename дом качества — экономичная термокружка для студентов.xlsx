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1" autoFilterDateGrouping="1"/>
  </bookViews>
  <sheets>
    <sheet name="Инструкция" sheetId="1" state="visible" r:id="rId1"/>
    <sheet name="Дом качества" sheetId="2" state="visible" r:id="rId2"/>
  </sheets>
  <externalReferences>
    <externalReference r:id="rId3"/>
  </externalReferences>
  <definedNames>
    <definedName name="Correlation_Options">'[1]Data Validation Sources'!$C$2:$C$6</definedName>
    <definedName name="_xlnm.Print_Area" localSheetId="1">'Дом качества'!$A$1:$N$33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Calibri"/>
      <family val="2"/>
      <sz val="10"/>
      <scheme val="minor"/>
    </font>
    <font>
      <name val="Calibri"/>
      <family val="2"/>
      <sz val="9"/>
      <scheme val="minor"/>
    </font>
    <font>
      <name val="Calibri"/>
      <family val="2"/>
      <color theme="1" tint="0.249977111117893"/>
      <sz val="8"/>
      <scheme val="minor"/>
    </font>
    <font>
      <name val="Calibri"/>
      <family val="2"/>
      <color rgb="FF0000CC"/>
      <sz val="9"/>
      <scheme val="minor"/>
    </font>
    <font>
      <name val="Calibri"/>
      <family val="2"/>
      <sz val="8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b val="1"/>
      <sz val="9"/>
      <scheme val="minor"/>
    </font>
    <font>
      <name val="Calibri"/>
      <family val="2"/>
      <color theme="1" tint="0.249977111117893"/>
      <sz val="9"/>
      <scheme val="minor"/>
    </font>
    <font>
      <name val="Calibri"/>
      <family val="2"/>
      <color theme="1" tint="0.499984740745262"/>
      <sz val="9"/>
      <scheme val="minor"/>
    </font>
    <font>
      <name val="Calibri"/>
      <family val="2"/>
      <b val="1"/>
      <color theme="1" tint="0.249977111117893"/>
      <sz val="9"/>
      <scheme val="minor"/>
    </font>
    <font>
      <name val="Calibri"/>
      <family val="2"/>
      <sz val="11"/>
      <scheme val="minor"/>
    </font>
    <font>
      <name val="Calibri"/>
      <family val="2"/>
      <color indexed="55"/>
      <sz val="9"/>
      <scheme val="minor"/>
    </font>
    <font>
      <name val="Calibri"/>
      <family val="2"/>
      <sz val="20"/>
      <scheme val="minor"/>
    </font>
    <font>
      <name val="Calibri"/>
      <family val="2"/>
      <color theme="1" tint="0.249977111117893"/>
      <sz val="12"/>
      <scheme val="minor"/>
    </font>
    <font>
      <name val="Calibri"/>
      <family val="2"/>
      <b val="1"/>
      <color theme="1" tint="0.249977111117893"/>
      <sz val="10"/>
      <scheme val="minor"/>
    </font>
    <font>
      <name val="Calibri"/>
      <family val="2"/>
      <color theme="1" tint="0.249977111117893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3E1FF"/>
        <bgColor indexed="64"/>
      </patternFill>
    </fill>
    <fill>
      <patternFill patternType="solid">
        <fgColor rgb="FFEAEAEA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3499862666707358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3" fillId="4" borderId="13" applyAlignment="1" pivotButton="0" quotePrefix="0" xfId="0">
      <alignment horizontal="center" vertical="center"/>
    </xf>
    <xf numFmtId="0" fontId="1" fillId="4" borderId="0" pivotButton="0" quotePrefix="0" xfId="0"/>
    <xf numFmtId="0" fontId="2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6" fillId="4" borderId="5" applyAlignment="1" pivotButton="0" quotePrefix="0" xfId="0">
      <alignment horizontal="center"/>
    </xf>
    <xf numFmtId="9" fontId="6" fillId="4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2" fillId="4" borderId="0" pivotButton="0" quotePrefix="0" xfId="0"/>
    <xf numFmtId="0" fontId="2" fillId="5" borderId="8" applyAlignment="1" applyProtection="1" pivotButton="0" quotePrefix="0" xfId="0">
      <alignment horizontal="left" vertical="center" wrapText="1"/>
      <protection locked="0" hidden="0"/>
    </xf>
    <xf numFmtId="0" fontId="2" fillId="5" borderId="7" applyAlignment="1" applyProtection="1" pivotButton="0" quotePrefix="0" xfId="0">
      <alignment horizontal="left" vertical="center" wrapText="1"/>
      <protection locked="0" hidden="0"/>
    </xf>
    <xf numFmtId="0" fontId="7" fillId="3" borderId="7" applyAlignment="1" applyProtection="1" pivotButton="0" quotePrefix="0" xfId="0">
      <alignment horizontal="center" vertical="center"/>
      <protection locked="0" hidden="0"/>
    </xf>
    <xf numFmtId="0" fontId="8" fillId="3" borderId="6" applyAlignment="1" applyProtection="1" pivotButton="0" quotePrefix="0" xfId="0">
      <alignment horizontal="center" vertical="center"/>
      <protection locked="0" hidden="0"/>
    </xf>
    <xf numFmtId="0" fontId="8" fillId="3" borderId="10" applyAlignment="1" applyProtection="1" pivotButton="0" quotePrefix="0" xfId="0">
      <alignment horizontal="center" vertical="center"/>
      <protection locked="0" hidden="0"/>
    </xf>
    <xf numFmtId="0" fontId="8" fillId="3" borderId="7" applyAlignment="1" applyProtection="1" pivotButton="0" quotePrefix="0" xfId="0">
      <alignment horizontal="center" vertical="center"/>
      <protection locked="0" hidden="0"/>
    </xf>
    <xf numFmtId="0" fontId="2" fillId="3" borderId="14" applyProtection="1" pivotButton="0" quotePrefix="0" xfId="0">
      <protection locked="0" hidden="0"/>
    </xf>
    <xf numFmtId="0" fontId="2" fillId="3" borderId="15" applyProtection="1" pivotButton="0" quotePrefix="0" xfId="0">
      <protection locked="0" hidden="0"/>
    </xf>
    <xf numFmtId="0" fontId="2" fillId="3" borderId="15" applyAlignment="1" applyProtection="1" pivotButton="0" quotePrefix="0" xfId="0">
      <alignment vertical="center"/>
      <protection locked="0" hidden="0"/>
    </xf>
    <xf numFmtId="0" fontId="2" fillId="3" borderId="16" applyAlignment="1" applyProtection="1" pivotButton="0" quotePrefix="0" xfId="0">
      <alignment vertical="center"/>
      <protection locked="0" hidden="0"/>
    </xf>
    <xf numFmtId="0" fontId="2" fillId="3" borderId="17" applyProtection="1" pivotButton="0" quotePrefix="0" xfId="0">
      <protection locked="0" hidden="0"/>
    </xf>
    <xf numFmtId="0" fontId="2" fillId="3" borderId="18" applyProtection="1" pivotButton="0" quotePrefix="0" xfId="0">
      <protection locked="0" hidden="0"/>
    </xf>
    <xf numFmtId="0" fontId="2" fillId="3" borderId="19" applyProtection="1" pivotButton="0" quotePrefix="0" xfId="0">
      <protection locked="0" hidden="0"/>
    </xf>
    <xf numFmtId="0" fontId="2" fillId="3" borderId="20" applyProtection="1" pivotButton="0" quotePrefix="0" xfId="0">
      <protection locked="0" hidden="0"/>
    </xf>
    <xf numFmtId="0" fontId="2" fillId="3" borderId="0" applyProtection="1" pivotButton="0" quotePrefix="0" xfId="0">
      <protection locked="0" hidden="0"/>
    </xf>
    <xf numFmtId="0" fontId="2" fillId="3" borderId="0" applyAlignment="1" applyProtection="1" pivotButton="0" quotePrefix="0" xfId="0">
      <alignment vertical="center"/>
      <protection locked="0" hidden="0"/>
    </xf>
    <xf numFmtId="0" fontId="2" fillId="3" borderId="21" applyAlignment="1" applyProtection="1" pivotButton="0" quotePrefix="0" xfId="0">
      <alignment vertical="center"/>
      <protection locked="0" hidden="0"/>
    </xf>
    <xf numFmtId="0" fontId="2" fillId="4" borderId="0" pivotButton="0" quotePrefix="0" xfId="0"/>
    <xf numFmtId="0" fontId="4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vertical="center"/>
    </xf>
    <xf numFmtId="0" fontId="8" fillId="4" borderId="0" pivotButton="0" quotePrefix="0" xfId="0"/>
    <xf numFmtId="0" fontId="12" fillId="4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/>
    </xf>
    <xf numFmtId="0" fontId="10" fillId="4" borderId="13" applyAlignment="1" pivotButton="0" quotePrefix="0" xfId="0">
      <alignment horizontal="center" vertical="center"/>
    </xf>
    <xf numFmtId="0" fontId="8" fillId="4" borderId="13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3" borderId="9" applyAlignment="1" applyProtection="1" pivotButton="0" quotePrefix="0" xfId="0">
      <alignment horizontal="center" vertical="center"/>
      <protection locked="0" hidden="0"/>
    </xf>
    <xf numFmtId="0" fontId="2" fillId="3" borderId="11" applyAlignment="1" applyProtection="1" pivotButton="0" quotePrefix="0" xfId="0">
      <alignment horizontal="center" vertical="center"/>
      <protection locked="0" hidden="0"/>
    </xf>
    <xf numFmtId="0" fontId="2" fillId="3" borderId="7" applyAlignment="1" applyProtection="1" pivotButton="0" quotePrefix="0" xfId="0">
      <alignment horizontal="center" vertical="center"/>
      <protection locked="0" hidden="0"/>
    </xf>
    <xf numFmtId="0" fontId="2" fillId="4" borderId="0" applyAlignment="1" pivotButton="0" quotePrefix="0" xfId="0">
      <alignment vertical="center"/>
    </xf>
    <xf numFmtId="0" fontId="2" fillId="4" borderId="4" applyAlignment="1" pivotButton="0" quotePrefix="0" xfId="0">
      <alignment vertical="center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9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9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13" fillId="4" borderId="0" pivotButton="0" quotePrefix="0" xfId="0"/>
    <xf numFmtId="0" fontId="5" fillId="7" borderId="7" applyAlignment="1" pivotButton="0" quotePrefix="0" xfId="0">
      <alignment horizontal="right" vertical="center"/>
    </xf>
    <xf numFmtId="0" fontId="2" fillId="7" borderId="7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/>
    </xf>
    <xf numFmtId="0" fontId="2" fillId="7" borderId="9" applyAlignment="1" pivotButton="0" quotePrefix="0" xfId="0">
      <alignment horizontal="right" vertical="center"/>
    </xf>
    <xf numFmtId="0" fontId="2" fillId="7" borderId="7" applyAlignment="1" pivotButton="0" quotePrefix="0" xfId="0">
      <alignment horizontal="right" vertical="center"/>
    </xf>
    <xf numFmtId="0" fontId="2" fillId="7" borderId="4" applyAlignment="1" pivotButton="0" quotePrefix="0" xfId="0">
      <alignment horizontal="right" vertical="center"/>
    </xf>
    <xf numFmtId="0" fontId="7" fillId="7" borderId="3" applyAlignment="1" pivotButton="0" quotePrefix="0" xfId="0">
      <alignment horizontal="right" vertical="center"/>
    </xf>
    <xf numFmtId="0" fontId="2" fillId="7" borderId="9" applyAlignment="1" pivotButton="0" quotePrefix="0" xfId="0">
      <alignment horizontal="center" vertical="center"/>
    </xf>
    <xf numFmtId="9" fontId="2" fillId="7" borderId="7" applyAlignment="1" pivotButton="0" quotePrefix="0" xfId="0">
      <alignment horizontal="center" vertical="center"/>
    </xf>
    <xf numFmtId="0" fontId="7" fillId="7" borderId="7" applyAlignment="1" pivotButton="0" quotePrefix="0" xfId="0">
      <alignment horizontal="center" vertical="center"/>
    </xf>
    <xf numFmtId="0" fontId="2" fillId="7" borderId="9" applyAlignment="1" pivotButton="0" quotePrefix="0" xfId="0">
      <alignment horizontal="center" wrapText="1"/>
    </xf>
    <xf numFmtId="0" fontId="2" fillId="7" borderId="10" applyAlignment="1" pivotButton="0" quotePrefix="0" xfId="0">
      <alignment horizontal="right" vertical="center" wrapText="1"/>
    </xf>
    <xf numFmtId="0" fontId="2" fillId="3" borderId="13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0" fontId="14" fillId="4" borderId="13" applyAlignment="1" pivotButton="0" quotePrefix="1" xfId="0">
      <alignment horizontal="center" vertical="center"/>
    </xf>
    <xf numFmtId="0" fontId="14" fillId="4" borderId="13" applyAlignment="1" pivotButton="0" quotePrefix="0" xfId="0">
      <alignment horizontal="center" vertical="center"/>
    </xf>
    <xf numFmtId="0" fontId="15" fillId="4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0" fontId="16" fillId="4" borderId="0" pivotButton="0" quotePrefix="0" xfId="0"/>
    <xf numFmtId="0" fontId="1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right" vertical="center"/>
    </xf>
    <xf numFmtId="0" fontId="3" fillId="4" borderId="13" applyAlignment="1" pivotButton="0" quotePrefix="1" xfId="0">
      <alignment horizontal="center" vertical="center"/>
    </xf>
    <xf numFmtId="0" fontId="10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wrapText="1"/>
    </xf>
    <xf numFmtId="0" fontId="5" fillId="7" borderId="3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2" fillId="6" borderId="7" applyAlignment="1" applyProtection="1" pivotButton="0" quotePrefix="0" xfId="0">
      <alignment horizontal="center" vertical="center" wrapText="1"/>
      <protection locked="0" hidden="0"/>
    </xf>
    <xf numFmtId="0" fontId="2" fillId="6" borderId="7" applyProtection="1" pivotButton="0" quotePrefix="0" xfId="0">
      <protection locked="0" hidden="0"/>
    </xf>
    <xf numFmtId="0" fontId="9" fillId="4" borderId="1" applyAlignment="1" pivotButton="0" quotePrefix="0" xfId="0">
      <alignment horizontal="center"/>
    </xf>
    <xf numFmtId="0" fontId="0" fillId="0" borderId="1" pivotButton="0" quotePrefix="0" xfId="0"/>
    <xf numFmtId="0" fontId="0" fillId="0" borderId="9" applyProtection="1" pivotButton="0" quotePrefix="0" xfId="0">
      <protection locked="0" hidden="0"/>
    </xf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dsaadeddin/Desktop/QFD/House%20of%20Quality%20(1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use of Quality 1"/>
      <sheetName val="Data Validation Sources"/>
      <sheetName val="House of Quality 2"/>
      <sheetName val="House of Quality 3"/>
      <sheetName val="House of Quality 4"/>
      <sheetName val="About"/>
    </sheetNames>
    <sheetDataSet>
      <sheetData sheetId="0" refreshError="1"/>
      <sheetData sheetId="1">
        <row r="2">
          <cell r="C2" t="str">
            <v>┼┼</v>
          </cell>
        </row>
        <row r="3">
          <cell r="C3" t="str">
            <v>┼</v>
          </cell>
        </row>
        <row r="4">
          <cell r="C4" t="str">
            <v>▬</v>
          </cell>
        </row>
        <row r="5">
          <cell r="C5" t="str">
            <v>▼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topLeftCell="A55" workbookViewId="0">
      <selection activeCell="R12" sqref="R12"/>
    </sheetView>
  </sheetViews>
  <sheetFormatPr baseColWidth="8" defaultRowHeight="12.75"/>
  <sheetData/>
  <pageMargins left="0.7" right="0.7" top="0.75" bottom="0.75" header="0.3" footer="0.3"/>
  <pageSetup orientation="portrait" paperSize="9" scale="6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tabSelected="1" zoomScale="130" zoomScaleNormal="130" workbookViewId="0">
      <selection activeCell="I21" sqref="I21"/>
    </sheetView>
  </sheetViews>
  <sheetFormatPr baseColWidth="8" defaultColWidth="8.85546875" defaultRowHeight="12"/>
  <cols>
    <col width="2.7109375" customWidth="1" style="26" min="1" max="1"/>
    <col width="12.28515625" customWidth="1" style="26" min="2" max="2"/>
    <col width="30.7109375" customWidth="1" style="26" min="3" max="3"/>
    <col width="10.7109375" customWidth="1" style="26" min="4" max="9"/>
    <col width="11.5703125" customWidth="1" style="26" min="10" max="13"/>
    <col width="2.7109375" customWidth="1" style="26" min="14" max="14"/>
    <col width="8.85546875" customWidth="1" style="26" min="15" max="16384"/>
  </cols>
  <sheetData>
    <row r="1" ht="26.25" customHeight="1">
      <c r="B1" s="47" t="inlineStr">
        <is>
          <t>Дом качества</t>
        </is>
      </c>
    </row>
    <row r="2" ht="15" customHeight="1">
      <c r="B2" s="69" t="n"/>
      <c r="G2" s="27" t="n"/>
      <c r="H2" s="27" t="n"/>
      <c r="K2" s="28" t="n"/>
      <c r="L2" s="29" t="n"/>
    </row>
    <row r="3" ht="15" customHeight="1">
      <c r="B3" s="69" t="inlineStr">
        <is>
          <t>Название проекта:</t>
        </is>
      </c>
      <c r="C3" s="61" t="inlineStr">
        <is>
          <t>Экономичная термокружка для студентов</t>
        </is>
      </c>
      <c r="D3" s="69" t="n"/>
      <c r="E3" s="27" t="n"/>
      <c r="F3" s="35" t="n"/>
      <c r="G3" s="69" t="n"/>
      <c r="J3" s="62" t="inlineStr">
        <is>
          <t>Корелляция:</t>
        </is>
      </c>
      <c r="K3" s="31" t="n"/>
      <c r="L3" s="32" t="n"/>
    </row>
    <row r="4" ht="15" customHeight="1">
      <c r="B4" s="69" t="inlineStr">
        <is>
          <t>Рук.проекта:</t>
        </is>
      </c>
      <c r="C4" s="61" t="inlineStr">
        <is>
          <t>Студент</t>
        </is>
      </c>
      <c r="D4" s="69" t="n"/>
      <c r="E4" s="27" t="n"/>
      <c r="F4" s="35" t="n"/>
      <c r="G4" s="69" t="n"/>
      <c r="J4" s="63" t="inlineStr">
        <is>
          <t>+</t>
        </is>
      </c>
      <c r="K4" s="64" t="inlineStr">
        <is>
          <t>.</t>
        </is>
      </c>
      <c r="L4" s="63" t="inlineStr">
        <is>
          <t>-</t>
        </is>
      </c>
    </row>
    <row r="5" ht="15" customHeight="1">
      <c r="B5" s="69" t="inlineStr">
        <is>
          <t>Дата:</t>
        </is>
      </c>
      <c r="C5" s="61" t="inlineStr">
        <is>
          <t>13.10.2026</t>
        </is>
      </c>
      <c r="D5" s="69" t="n"/>
      <c r="E5" s="27" t="n"/>
      <c r="F5" s="35" t="n"/>
      <c r="G5" s="69" t="n"/>
      <c r="J5" s="70" t="inlineStr">
        <is>
          <t>Положительно</t>
        </is>
      </c>
      <c r="K5" s="1" t="inlineStr">
        <is>
          <t>Нет зависимости</t>
        </is>
      </c>
      <c r="L5" s="70" t="inlineStr">
        <is>
          <t>Отрицательно</t>
        </is>
      </c>
    </row>
    <row r="6" ht="15" customHeight="1">
      <c r="B6" s="69" t="inlineStr">
        <is>
          <t>Этап (КТ)</t>
        </is>
      </c>
      <c r="C6" s="61" t="inlineStr">
        <is>
          <t>Разработка</t>
        </is>
      </c>
      <c r="D6" s="69" t="n"/>
      <c r="E6" s="27" t="n"/>
      <c r="F6" s="35" t="n"/>
      <c r="G6" s="69" t="n"/>
      <c r="K6" s="31" t="n"/>
      <c r="L6" s="32" t="n"/>
    </row>
    <row r="7" ht="15" customHeight="1">
      <c r="B7" s="69" t="n"/>
      <c r="C7" s="4" t="n"/>
      <c r="D7" s="69" t="n"/>
      <c r="E7" s="27" t="n"/>
      <c r="F7" s="35" t="n"/>
      <c r="G7" s="69" t="n"/>
      <c r="J7" s="71" t="inlineStr">
        <is>
          <t>Соотношение:</t>
        </is>
      </c>
      <c r="K7" s="31" t="n"/>
      <c r="L7" s="32" t="n"/>
    </row>
    <row r="8" ht="15" customHeight="1">
      <c r="B8" s="69" t="n"/>
      <c r="C8" s="27" t="n"/>
      <c r="D8" s="69" t="n"/>
      <c r="E8" s="27" t="n"/>
      <c r="F8" s="35" t="n"/>
      <c r="G8" s="69" t="n"/>
      <c r="H8" s="27" t="n"/>
      <c r="J8" s="33" t="n">
        <v>9</v>
      </c>
      <c r="K8" s="33" t="n">
        <v>3</v>
      </c>
      <c r="L8" s="33" t="n">
        <v>1</v>
      </c>
      <c r="M8" s="33" t="n"/>
    </row>
    <row r="9" ht="15" customHeight="1">
      <c r="B9" s="69" t="n"/>
      <c r="C9" s="48" t="inlineStr">
        <is>
          <t>Направления улучшений (↑,0,↓)</t>
        </is>
      </c>
      <c r="D9" s="12" t="inlineStr">
        <is>
          <t>↓</t>
        </is>
      </c>
      <c r="E9" s="13" t="inlineStr">
        <is>
          <t>↑</t>
        </is>
      </c>
      <c r="F9" s="13" t="inlineStr">
        <is>
          <t>↑</t>
        </is>
      </c>
      <c r="G9" s="13" t="inlineStr">
        <is>
          <t>↑</t>
        </is>
      </c>
      <c r="H9" s="13" t="inlineStr">
        <is>
          <t>↑</t>
        </is>
      </c>
      <c r="J9" s="34" t="inlineStr">
        <is>
          <t>Сильно</t>
        </is>
      </c>
      <c r="K9" s="34" t="inlineStr">
        <is>
          <t>Средне</t>
        </is>
      </c>
      <c r="L9" s="34" t="inlineStr">
        <is>
          <t>Слабо</t>
        </is>
      </c>
      <c r="M9" s="34" t="inlineStr">
        <is>
          <t>Отсутствует</t>
        </is>
      </c>
    </row>
    <row r="10" ht="24" customHeight="1">
      <c r="A10" s="26" t="n"/>
      <c r="B10" s="72" t="inlineStr">
        <is>
          <t>Мин.: 1,
Макс.: 5</t>
        </is>
      </c>
      <c r="C10" s="60" t="inlineStr">
        <is>
          <t>3. Функциональные требования
→</t>
        </is>
      </c>
      <c r="D10" s="76" t="inlineStr">
        <is>
          <t>Себестоимость/цена, ₽
(цел.: ≤650 / 799)</t>
        </is>
      </c>
      <c r="E10" s="76" t="inlineStr">
        <is>
          <t>Время сохранения тепла, ч
(цел.: ≥6)</t>
        </is>
      </c>
      <c r="F10" s="76" t="inlineStr">
        <is>
          <t>Качество уплотнителя и
эргономика крышки/ручки, балл
(цел.: ≥4,5/5)</t>
        </is>
      </c>
      <c r="G10" s="76" t="inlineStr">
        <is>
          <t>Масса/объём/горловина
(цел.: ≤320 г; 450 мл; ≥70 мм)</t>
        </is>
      </c>
      <c r="H10" s="76" t="inlineStr">
        <is>
          <t>Материал корпуса и доля
переработанных материалов, %
(цел.: сталь 18/8; ≥35%)</t>
        </is>
      </c>
      <c r="I10" s="26" t="n"/>
      <c r="J10" s="78" t="inlineStr">
        <is>
          <t>Оценка: Слабо: 1, Сильно: 5</t>
        </is>
      </c>
      <c r="K10" s="79" t="n"/>
      <c r="L10" s="79" t="n"/>
      <c r="M10" s="79" t="n"/>
    </row>
    <row r="11" ht="36" customHeight="1">
      <c r="A11" s="35" t="n"/>
      <c r="B11" s="49" t="inlineStr">
        <is>
          <t>2. Важность для
потребителя</t>
        </is>
      </c>
      <c r="C11" s="59" t="inlineStr">
        <is>
          <t>1. Требования потребителя
↓</t>
        </is>
      </c>
      <c r="D11" s="80" t="n"/>
      <c r="E11" s="80" t="n"/>
      <c r="F11" s="80" t="n"/>
      <c r="G11" s="80" t="n"/>
      <c r="H11" s="80" t="n"/>
      <c r="I11" s="73" t="inlineStr">
        <is>
          <t>Коеф конкурентоспособности ИО</t>
        </is>
      </c>
      <c r="J11" s="50" t="inlineStr">
        <is>
          <t>Исслед. Обр</t>
        </is>
      </c>
      <c r="K11" s="49" t="inlineStr">
        <is>
          <t>Конкурент 1</t>
        </is>
      </c>
      <c r="L11" s="49" t="inlineStr">
        <is>
          <t>Конкурент 2</t>
        </is>
      </c>
      <c r="M11" s="49" t="inlineStr">
        <is>
          <t>Конкурент 3</t>
        </is>
      </c>
    </row>
    <row r="12" ht="15" customHeight="1">
      <c r="A12" s="68" t="n">
        <v>1</v>
      </c>
      <c r="B12" s="14" t="n">
        <v>5</v>
      </c>
      <c r="C12" s="9" t="inlineStr">
        <is>
          <t>Доступная цена для студента</t>
        </is>
      </c>
      <c r="D12" s="39" t="n">
        <v>9</v>
      </c>
      <c r="E12" s="39" t="n">
        <v>1</v>
      </c>
      <c r="F12" s="39" t="n">
        <v>1</v>
      </c>
      <c r="G12" s="39" t="n">
        <v>3</v>
      </c>
      <c r="H12" s="39" t="n">
        <v>1</v>
      </c>
      <c r="I12" s="51">
        <f>J12/MAX(K12:M12)</f>
        <v/>
      </c>
      <c r="J12" s="36" t="n">
        <v>4</v>
      </c>
      <c r="K12" s="37" t="n">
        <v>3</v>
      </c>
      <c r="L12" s="36" t="n">
        <v>2</v>
      </c>
      <c r="M12" s="37" t="n">
        <v>4</v>
      </c>
    </row>
    <row r="13" ht="15" customHeight="1">
      <c r="A13" s="68" t="n">
        <v>2</v>
      </c>
      <c r="B13" s="14" t="n">
        <v>5</v>
      </c>
      <c r="C13" s="10" t="inlineStr">
        <is>
          <t>Долго сохраняет температуру напитка</t>
        </is>
      </c>
      <c r="D13" s="39" t="n">
        <v>1</v>
      </c>
      <c r="E13" s="39" t="n">
        <v>9</v>
      </c>
      <c r="F13" s="39" t="n">
        <v>3</v>
      </c>
      <c r="G13" s="39" t="n">
        <v>1</v>
      </c>
      <c r="H13" s="39" t="n">
        <v>1</v>
      </c>
      <c r="I13" s="51">
        <f>J13/MAX(K13:M13)</f>
        <v/>
      </c>
      <c r="J13" s="38" t="n">
        <v>4</v>
      </c>
      <c r="K13" s="39" t="n">
        <v>5</v>
      </c>
      <c r="L13" s="38" t="n">
        <v>3</v>
      </c>
      <c r="M13" s="39" t="n">
        <v>4</v>
      </c>
    </row>
    <row r="14" ht="15" customHeight="1">
      <c r="A14" s="68" t="n">
        <v>3</v>
      </c>
      <c r="B14" s="14" t="n">
        <v>5</v>
      </c>
      <c r="C14" s="10" t="inlineStr">
        <is>
          <t>Герметичность (не протекает в рюкзаке)</t>
        </is>
      </c>
      <c r="D14" s="39" t="n">
        <v>1</v>
      </c>
      <c r="E14" s="39" t="n">
        <v>3</v>
      </c>
      <c r="F14" s="39" t="n">
        <v>9</v>
      </c>
      <c r="G14" s="39" t="n">
        <v>1</v>
      </c>
      <c r="H14" s="39" t="n">
        <v>1</v>
      </c>
      <c r="I14" s="51">
        <f>J14/MAX(K14:M14)</f>
        <v/>
      </c>
      <c r="J14" s="38" t="n">
        <v>4</v>
      </c>
      <c r="K14" s="39" t="n">
        <v>4</v>
      </c>
      <c r="L14" s="38" t="n">
        <v>3</v>
      </c>
      <c r="M14" s="39" t="n">
        <v>5</v>
      </c>
    </row>
    <row r="15" ht="15" customHeight="1">
      <c r="A15" s="68" t="n">
        <v>4</v>
      </c>
      <c r="B15" s="14" t="n">
        <v>4</v>
      </c>
      <c r="C15" s="10" t="inlineStr">
        <is>
          <t>Небольшой вес</t>
        </is>
      </c>
      <c r="D15" s="39" t="n">
        <v>3</v>
      </c>
      <c r="E15" s="39" t="n">
        <v>1</v>
      </c>
      <c r="F15" s="39" t="n">
        <v>1</v>
      </c>
      <c r="G15" s="39" t="n">
        <v>9</v>
      </c>
      <c r="H15" s="39" t="n">
        <v>3</v>
      </c>
      <c r="I15" s="51">
        <f>J15/MAX(K15:M15)</f>
        <v/>
      </c>
      <c r="J15" s="38" t="n">
        <v>5</v>
      </c>
      <c r="K15" s="39" t="n">
        <v>3</v>
      </c>
      <c r="L15" s="38" t="n">
        <v>4</v>
      </c>
      <c r="M15" s="39" t="n">
        <v>3</v>
      </c>
    </row>
    <row r="16" ht="15" customHeight="1">
      <c r="A16" s="68" t="n">
        <v>5</v>
      </c>
      <c r="B16" s="14" t="n">
        <v>4</v>
      </c>
      <c r="C16" s="10" t="inlineStr">
        <is>
          <t>Достаточная вместимость</t>
        </is>
      </c>
      <c r="D16" s="39" t="n">
        <v>1</v>
      </c>
      <c r="E16" s="39" t="n">
        <v>3</v>
      </c>
      <c r="F16" s="39" t="n">
        <v>1</v>
      </c>
      <c r="G16" s="39" t="n">
        <v>9</v>
      </c>
      <c r="H16" s="39" t="n">
        <v>1</v>
      </c>
      <c r="I16" s="51">
        <f>J16/MAX(K16:M16)</f>
        <v/>
      </c>
      <c r="J16" s="38" t="n">
        <v>4</v>
      </c>
      <c r="K16" s="39" t="n">
        <v>5</v>
      </c>
      <c r="L16" s="38" t="n">
        <v>4</v>
      </c>
      <c r="M16" s="39" t="n">
        <v>3</v>
      </c>
    </row>
    <row r="17" ht="15" customHeight="1">
      <c r="A17" s="68" t="n">
        <v>6</v>
      </c>
      <c r="B17" s="14" t="n">
        <v>3</v>
      </c>
      <c r="C17" s="10" t="inlineStr">
        <is>
          <t>Удобство мытья</t>
        </is>
      </c>
      <c r="D17" s="39" t="n">
        <v>1</v>
      </c>
      <c r="E17" s="39" t="n">
        <v>1</v>
      </c>
      <c r="F17" s="39" t="n">
        <v>3</v>
      </c>
      <c r="G17" s="39" t="n">
        <v>9</v>
      </c>
      <c r="H17" s="39" t="n">
        <v>3</v>
      </c>
      <c r="I17" s="51">
        <f>J17/MAX(K17:M17)</f>
        <v/>
      </c>
      <c r="J17" s="38" t="n">
        <v>4</v>
      </c>
      <c r="K17" s="39" t="n">
        <v>3</v>
      </c>
      <c r="L17" s="38" t="n">
        <v>2</v>
      </c>
      <c r="M17" s="39" t="n">
        <v>4</v>
      </c>
    </row>
    <row r="18" ht="15" customHeight="1">
      <c r="A18" s="68" t="n">
        <v>7</v>
      </c>
      <c r="B18" s="14" t="n">
        <v>4</v>
      </c>
      <c r="C18" s="10" t="inlineStr">
        <is>
          <t>Прочность при повседневном использовании</t>
        </is>
      </c>
      <c r="D18" s="39" t="n">
        <v>1</v>
      </c>
      <c r="E18" s="39" t="n">
        <v>3</v>
      </c>
      <c r="F18" s="39" t="n">
        <v>3</v>
      </c>
      <c r="G18" s="39" t="n">
        <v>3</v>
      </c>
      <c r="H18" s="39" t="n">
        <v>9</v>
      </c>
      <c r="I18" s="51">
        <f>J18/MAX(K18:M18)</f>
        <v/>
      </c>
      <c r="J18" s="38" t="n">
        <v>4</v>
      </c>
      <c r="K18" s="39" t="n">
        <v>5</v>
      </c>
      <c r="L18" s="38" t="n">
        <v>3</v>
      </c>
      <c r="M18" s="39" t="n">
        <v>4</v>
      </c>
    </row>
    <row r="19" ht="15" customHeight="1">
      <c r="A19" s="68" t="n">
        <v>8</v>
      </c>
      <c r="B19" s="14" t="n">
        <v>3</v>
      </c>
      <c r="C19" s="10" t="inlineStr">
        <is>
          <t>Экологичность материалов и упаковки</t>
        </is>
      </c>
      <c r="D19" s="39" t="n">
        <v>3</v>
      </c>
      <c r="E19" s="39" t="n">
        <v>1</v>
      </c>
      <c r="F19" s="39" t="n">
        <v>1</v>
      </c>
      <c r="G19" s="39" t="n">
        <v>1</v>
      </c>
      <c r="H19" s="39" t="n">
        <v>9</v>
      </c>
      <c r="I19" s="51">
        <f>J19/MAX(K19:M19)</f>
        <v/>
      </c>
      <c r="J19" s="38" t="n">
        <v>5</v>
      </c>
      <c r="K19" s="39" t="n">
        <v>2</v>
      </c>
      <c r="L19" s="38" t="n">
        <v>3</v>
      </c>
      <c r="M19" s="39" t="n">
        <v>2</v>
      </c>
    </row>
    <row r="20" ht="15" customHeight="1">
      <c r="A20" s="68" t="n">
        <v>9</v>
      </c>
      <c r="B20" s="14" t="n">
        <v>4</v>
      </c>
      <c r="C20" s="10" t="inlineStr">
        <is>
          <t>Удобство переноски и питья на ходу</t>
        </is>
      </c>
      <c r="D20" s="39" t="n">
        <v>1</v>
      </c>
      <c r="E20" s="39" t="n">
        <v>3</v>
      </c>
      <c r="F20" s="39" t="n">
        <v>9</v>
      </c>
      <c r="G20" s="39" t="n">
        <v>3</v>
      </c>
      <c r="H20" s="39" t="n">
        <v>1</v>
      </c>
      <c r="I20" s="51">
        <f>J20/MAX(K20:M20)</f>
        <v/>
      </c>
      <c r="J20" s="38" t="n">
        <v>5</v>
      </c>
      <c r="K20" s="39" t="n">
        <v>4</v>
      </c>
      <c r="L20" s="38" t="n">
        <v>3</v>
      </c>
      <c r="M20" s="39" t="n">
        <v>4</v>
      </c>
    </row>
    <row r="21" ht="12.75" customHeight="1">
      <c r="A21" s="26" t="n"/>
      <c r="B21" s="46" t="n"/>
      <c r="C21" s="52" t="inlineStr">
        <is>
          <t>Техническая важность (расчет)</t>
        </is>
      </c>
      <c r="D21" s="56">
        <f>SUMPRODUCT($B$12:$B$20,D12:D20)</f>
        <v/>
      </c>
      <c r="E21" s="56">
        <f>SUMPRODUCT($B$12:$B$20,E12:E20)</f>
        <v/>
      </c>
      <c r="F21" s="56">
        <f>SUMPRODUCT($B$12:$B$20,F12:F20)</f>
        <v/>
      </c>
      <c r="G21" s="56">
        <f>SUMPRODUCT($B$12:$B$20,G12:G20)</f>
        <v/>
      </c>
      <c r="H21" s="56">
        <f>SUMPRODUCT($B$12:$B$20,H12:H20)</f>
        <v/>
      </c>
      <c r="I21" s="5">
        <f>SUM(I12:I20)</f>
        <v/>
      </c>
      <c r="J21" s="74" t="n"/>
      <c r="K21" s="81" t="n"/>
      <c r="L21" s="81" t="n"/>
      <c r="M21" s="81" t="n"/>
    </row>
    <row r="22" ht="12.75" customHeight="1">
      <c r="A22" s="26" t="n"/>
      <c r="B22" s="46" t="n"/>
      <c r="C22" s="53" t="inlineStr">
        <is>
          <t>Важность, %</t>
        </is>
      </c>
      <c r="D22" s="57">
        <f>D21/$I$22</f>
        <v/>
      </c>
      <c r="E22" s="57">
        <f>E21/$I$22</f>
        <v/>
      </c>
      <c r="F22" s="57">
        <f>F21/$I$22</f>
        <v/>
      </c>
      <c r="G22" s="57">
        <f>G21/$I$22</f>
        <v/>
      </c>
      <c r="H22" s="57">
        <f>H21/$I$22</f>
        <v/>
      </c>
      <c r="I22" s="6">
        <f>SUM(D21:H21)</f>
        <v/>
      </c>
    </row>
    <row r="23" ht="12.75" customHeight="1">
      <c r="A23" s="26" t="n"/>
      <c r="B23" s="46" t="n"/>
      <c r="C23" s="53" t="inlineStr">
        <is>
          <t>Приоритетность (топ n)</t>
        </is>
      </c>
      <c r="D23" s="58">
        <f>RANK(D25,$D$25:$H$25,0)</f>
        <v/>
      </c>
      <c r="E23" s="58">
        <f>RANK(E25,$D$25:$H$25,0)</f>
        <v/>
      </c>
      <c r="F23" s="58">
        <f>RANK(F25,$D$25:$H$25,0)</f>
        <v/>
      </c>
      <c r="G23" s="58">
        <f>RANK(G25,$D$25:$H$25,0)</f>
        <v/>
      </c>
      <c r="H23" s="58">
        <f>RANK(H25,$D$25:$H$25,0)</f>
        <v/>
      </c>
      <c r="I23" s="7" t="n"/>
    </row>
    <row r="24" ht="12.75" customHeight="1">
      <c r="A24" s="26" t="n"/>
      <c r="B24" s="41" t="n"/>
      <c r="C24" s="54" t="inlineStr">
        <is>
          <t>Сумма соотношений при Ki&lt;0,7</t>
        </is>
      </c>
      <c r="D24" s="42">
        <f>SUMPRODUCT((($I$12:$I$20&lt;0.7)+0),D12:D20)</f>
        <v/>
      </c>
      <c r="E24" s="42">
        <f>SUMPRODUCT((($I$12:$I$20&lt;0.7)+0),E12:E20)</f>
        <v/>
      </c>
      <c r="F24" s="42">
        <f>SUMPRODUCT((($I$12:$I$20&lt;0.7)+0),F12:F20)</f>
        <v/>
      </c>
      <c r="G24" s="42">
        <f>SUMPRODUCT((($I$12:$I$20&lt;0.7)+0),G12:G20)</f>
        <v/>
      </c>
      <c r="H24" s="42">
        <f>SUMPRODUCT((($I$12:$I$20&lt;0.7)+0),H12:H20)</f>
        <v/>
      </c>
      <c r="I24" s="7" t="n"/>
    </row>
    <row r="25" ht="12.75" customHeight="1">
      <c r="A25" s="26" t="n"/>
      <c r="B25" s="41" t="n"/>
      <c r="C25" s="55" t="inlineStr">
        <is>
          <t>Приоритет для улучшения</t>
        </is>
      </c>
      <c r="D25" s="11">
        <f>D21*(1+IF(MAX($D$24:$H$24)=0,0,D24/MAX($D$24:$H$24)))</f>
        <v/>
      </c>
      <c r="E25" s="11">
        <f>E21*(1+IF(MAX($D$24:$H$24)=0,0,E24/MAX($D$24:$H$24)))</f>
        <v/>
      </c>
      <c r="F25" s="11">
        <f>F21*(1+IF(MAX($D$24:$H$24)=0,0,F24/MAX($D$24:$H$24)))</f>
        <v/>
      </c>
      <c r="G25" s="11">
        <f>G21*(1+IF(MAX($D$24:$H$24)=0,0,G24/MAX($D$24:$H$24)))</f>
        <v/>
      </c>
      <c r="H25" s="11">
        <f>H21*(1+IF(MAX($D$24:$H$24)=0,0,H24/MAX($D$24:$H$24)))</f>
        <v/>
      </c>
      <c r="I25" s="43" t="n"/>
    </row>
    <row r="26" ht="12.75" customHeight="1">
      <c r="A26" s="26" t="n"/>
      <c r="C26" s="44" t="n"/>
      <c r="D26" s="45" t="n"/>
      <c r="E26" s="45" t="n"/>
      <c r="F26" s="45" t="n"/>
      <c r="G26" s="45" t="n"/>
      <c r="H26" s="45" t="n"/>
      <c r="I26" s="26" t="n"/>
    </row>
    <row r="27" ht="12.75" customHeight="1">
      <c r="B27" s="2" t="inlineStr">
        <is>
          <t>Comments/Conclusion:</t>
        </is>
      </c>
      <c r="C27" t="inlineStr">
        <is>
          <t>Приоритеты улучшения: удержание тепла, герметичность/эргономика крышки и снижение цены при сохранении прочности и экологичности.</t>
        </is>
      </c>
    </row>
    <row r="28">
      <c r="B28" s="15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8" t="n"/>
    </row>
    <row r="29">
      <c r="B29" s="22" t="n"/>
      <c r="C29" s="23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5" t="n"/>
    </row>
    <row r="30"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1" t="n"/>
    </row>
    <row r="31">
      <c r="B31" s="46" t="n"/>
      <c r="C31" s="46" t="n"/>
      <c r="D31" s="46" t="n"/>
      <c r="E31" s="46" t="n"/>
      <c r="F31" s="46" t="n"/>
      <c r="G31" s="46" t="n"/>
      <c r="H31" s="46" t="n"/>
    </row>
    <row r="32" ht="15" customHeight="1">
      <c r="B32" s="75" t="n"/>
    </row>
    <row r="34" ht="12.75" customHeight="1">
      <c r="B34" s="65" t="n"/>
    </row>
    <row r="35" ht="12.75" customHeight="1">
      <c r="B35" s="66" t="n"/>
    </row>
    <row r="36" ht="12.75" customHeight="1">
      <c r="B36" s="66" t="n"/>
    </row>
    <row r="37" ht="12.75" customHeight="1">
      <c r="B37" s="66" t="n"/>
    </row>
    <row r="38" ht="12.75" customHeight="1">
      <c r="B38" s="66" t="n"/>
    </row>
    <row r="39" ht="12.75" customHeight="1">
      <c r="B39" s="65" t="n"/>
    </row>
    <row r="40" ht="12.75" customHeight="1">
      <c r="B40" s="67" t="n"/>
    </row>
  </sheetData>
  <mergeCells count="8">
    <mergeCell ref="J10:M10"/>
    <mergeCell ref="E10:E11"/>
    <mergeCell ref="D10:D11"/>
    <mergeCell ref="B32:M32"/>
    <mergeCell ref="J21:M21"/>
    <mergeCell ref="F10:F11"/>
    <mergeCell ref="H10:H11"/>
    <mergeCell ref="G10:G11"/>
  </mergeCells>
  <printOptions horizontalCentered="1" verticalCentered="1"/>
  <pageMargins left="0.1" right="0.1" top="0.1" bottom="0.1" header="0.2" footer="0.2"/>
  <pageSetup orientation="landscape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lolo</dc:creator>
  <dcterms:created xsi:type="dcterms:W3CDTF">1996-10-14T23:33:28Z</dcterms:created>
  <dcterms:modified xsi:type="dcterms:W3CDTF">2026-10-13T17:36:42Z</dcterms:modified>
  <cp:lastModifiedBy>User</cp:lastModifiedBy>
  <cp:lastPrinted>2023-09-19T08:39:20Z</cp:lastPrinted>
</cp:coreProperties>
</file>