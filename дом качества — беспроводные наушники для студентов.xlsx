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 activeTab="1"/>
  </bookViews>
  <sheets>
    <sheet name="Инструкция" sheetId="4" r:id="rId1"/>
    <sheet name="Дом качества" sheetId="3" r:id="rId2"/>
  </sheets>
  <externalReferences>
    <externalReference r:id="rId3"/>
  </externalReferences>
  <definedNames>
    <definedName name="Correlation_Options">'[1]Data Validation Sources'!$C$2:$C$6</definedName>
    <definedName name="_xlnm.Print_Area" localSheetId="1">'Дом качества'!$A$1:$N$33</definedName>
  </definedNames>
  <calcPr calcId="162913"/>
</workbook>
</file>

<file path=xl/calcChain.xml><?xml version="1.0" encoding="utf-8"?>
<calcChain xmlns="http://schemas.openxmlformats.org/spreadsheetml/2006/main">
  <c r="I21" i="3" l="1"/>
  <c r="I22" i="3" l="1"/>
</calcChain>
</file>

<file path=xl/sharedStrings.xml><?xml version="1.0" encoding="utf-8"?>
<sst xmlns="http://schemas.openxmlformats.org/spreadsheetml/2006/main" count="34" uniqueCount="34">
  <si>
    <t>Comments/Conclusion:</t>
  </si>
  <si>
    <t>+</t>
  </si>
  <si>
    <t>.</t>
  </si>
  <si>
    <t>-</t>
  </si>
  <si>
    <t>Дом качества</t>
  </si>
  <si>
    <t>Корелляция:</t>
  </si>
  <si>
    <t>Название проекта:</t>
  </si>
  <si>
    <t>Рук.проекта:</t>
  </si>
  <si>
    <t>Дата:</t>
  </si>
  <si>
    <t>Положительно</t>
  </si>
  <si>
    <t>Этап (КТ)</t>
  </si>
  <si>
    <t>Нет зависимости</t>
  </si>
  <si>
    <t>Отрицательно</t>
  </si>
  <si>
    <t>Оценка: Слабо: 1, Сильно: 5</t>
  </si>
  <si>
    <t>Сильно</t>
  </si>
  <si>
    <t>Средне</t>
  </si>
  <si>
    <t>Слабо</t>
  </si>
  <si>
    <t>Отсутствует</t>
  </si>
  <si>
    <t>Соотношение:</t>
  </si>
  <si>
    <t>2. Важность для
потребителя</t>
  </si>
  <si>
    <t>Мин.: 1,
Макс.: 5</t>
  </si>
  <si>
    <t>Направления улучшений (↑,0,↓)</t>
  </si>
  <si>
    <t>3. Функциональные требования
→</t>
  </si>
  <si>
    <t>1. Требования потребителя
↓</t>
  </si>
  <si>
    <t>Техническая важность (расчет)</t>
  </si>
  <si>
    <t>Важность, %</t>
  </si>
  <si>
    <t>Приоритетность (топ n)</t>
  </si>
  <si>
    <t>Приоритет для улучшения</t>
  </si>
  <si>
    <t>Конкурент 1</t>
  </si>
  <si>
    <t>Конкурент 2</t>
  </si>
  <si>
    <t>Конкурент 3</t>
  </si>
  <si>
    <t>Коеф конкурентоспособности ИО</t>
  </si>
  <si>
    <t>Исслед. Обр</t>
  </si>
  <si>
    <t>Сумма соотношений при Ki&lt;0,7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</si>
</sst>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9"/>
      <color rgb="FF0000CC"/>
      <name val="Calibri"/>
      <family val="2"/>
      <scheme val="minor"/>
    </font>
    <font>
      <sz val="8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55"/>
      <name val="Calibri"/>
      <family val="2"/>
      <scheme val="minor"/>
    </font>
    <font>
      <sz val="2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3E1FF"/>
        <bgColor indexed="64"/>
      </patternFill>
    </fill>
    <fill>
      <patternFill patternType="solid">
        <fgColor rgb="FFEAEAEA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4" borderId="13" xfId="0" applyFont="1" applyFill="1" applyBorder="1" applyAlignment="1" applyProtection="1">
      <alignment horizontal="center" vertical="center"/>
    </xf>
    <xf numFmtId="0" fontId="1" fillId="4" borderId="0" xfId="0" applyFont="1" applyFill="1" applyProtection="1"/>
    <xf numFmtId="0" fontId="2" fillId="4" borderId="0" xfId="0" applyFont="1" applyFill="1" applyBorder="1" applyAlignment="1" applyProtection="1">
      <alignment horizontal="right" vertical="center"/>
    </xf>
    <xf numFmtId="0" fontId="8" fillId="4" borderId="0" xfId="0" applyFont="1" applyFill="1" applyBorder="1" applyAlignment="1" applyProtection="1">
      <alignment horizontal="left" vertical="center"/>
    </xf>
    <xf numFmtId="0" fontId="6" fillId="4" borderId="5" xfId="0" applyFont="1" applyFill="1" applyBorder="1" applyAlignment="1" applyProtection="1">
      <alignment horizontal="center"/>
    </xf>
    <xf numFmtId="9" fontId="6" fillId="4" borderId="0" xfId="0" applyNumberFormat="1" applyFont="1" applyFill="1" applyBorder="1" applyAlignment="1" applyProtection="1">
      <alignment horizontal="center"/>
    </xf>
    <xf numFmtId="0" fontId="8" fillId="4" borderId="0" xfId="0" applyFont="1" applyFill="1" applyBorder="1" applyAlignment="1" applyProtection="1">
      <alignment horizontal="center"/>
    </xf>
    <xf numFmtId="0" fontId="2" fillId="4" borderId="0" xfId="0" applyFont="1" applyFill="1" applyProtection="1"/>
    <xf numFmtId="0" fontId="2" fillId="5" borderId="8" xfId="0" applyFont="1" applyFill="1" applyBorder="1" applyAlignment="1" applyProtection="1">
      <alignment horizontal="left" vertical="center" wrapText="1"/>
      <protection locked="0"/>
    </xf>
    <xf numFmtId="0" fontId="2" fillId="5" borderId="7" xfId="0" applyFont="1" applyFill="1" applyBorder="1" applyAlignment="1" applyProtection="1">
      <alignment horizontal="left" vertical="center" wrapText="1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8" fillId="3" borderId="10" xfId="0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 applyProtection="1">
      <alignment horizontal="center" vertical="center"/>
      <protection locked="0"/>
    </xf>
    <xf numFmtId="0" fontId="2" fillId="3" borderId="14" xfId="0" applyFont="1" applyFill="1" applyBorder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5" xfId="0" applyFont="1" applyFill="1" applyBorder="1" applyAlignment="1" applyProtection="1">
      <alignment vertical="center"/>
      <protection locked="0"/>
    </xf>
    <xf numFmtId="0" fontId="2" fillId="3" borderId="16" xfId="0" applyFont="1" applyFill="1" applyBorder="1" applyAlignment="1" applyProtection="1">
      <alignment vertical="center"/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0" xfId="0" applyFont="1" applyFill="1" applyBorder="1" applyProtection="1">
      <protection locked="0"/>
    </xf>
    <xf numFmtId="0" fontId="2" fillId="3" borderId="0" xfId="0" applyFont="1" applyFill="1" applyBorder="1" applyAlignment="1" applyProtection="1">
      <alignment vertical="center"/>
      <protection locked="0"/>
    </xf>
    <xf numFmtId="0" fontId="2" fillId="3" borderId="21" xfId="0" applyFont="1" applyFill="1" applyBorder="1" applyAlignment="1" applyProtection="1">
      <alignment vertical="center"/>
      <protection locked="0"/>
    </xf>
    <xf numFmtId="0" fontId="2" fillId="4" borderId="0" xfId="0" applyFont="1" applyFill="1" applyBorder="1" applyProtection="1"/>
    <xf numFmtId="0" fontId="4" fillId="4" borderId="0" xfId="0" applyFont="1" applyFill="1" applyBorder="1" applyAlignment="1" applyProtection="1">
      <alignment horizontal="left" vertical="center"/>
    </xf>
    <xf numFmtId="0" fontId="10" fillId="4" borderId="0" xfId="0" applyFont="1" applyFill="1" applyBorder="1" applyAlignment="1" applyProtection="1">
      <alignment vertical="center"/>
    </xf>
    <xf numFmtId="0" fontId="8" fillId="4" borderId="0" xfId="0" applyFont="1" applyFill="1" applyBorder="1" applyProtection="1"/>
    <xf numFmtId="0" fontId="12" fillId="4" borderId="0" xfId="0" applyFont="1" applyFill="1" applyAlignment="1" applyProtection="1">
      <alignment horizontal="center"/>
    </xf>
    <xf numFmtId="0" fontId="10" fillId="4" borderId="0" xfId="0" applyFont="1" applyFill="1" applyBorder="1" applyAlignment="1" applyProtection="1">
      <alignment horizontal="center" vertical="center"/>
    </xf>
    <xf numFmtId="0" fontId="8" fillId="4" borderId="0" xfId="0" applyFont="1" applyFill="1" applyBorder="1" applyAlignment="1" applyProtection="1">
      <alignment vertical="center"/>
    </xf>
    <xf numFmtId="0" fontId="10" fillId="4" borderId="13" xfId="0" applyFont="1" applyFill="1" applyBorder="1" applyAlignment="1" applyProtection="1">
      <alignment horizontal="center" vertical="center"/>
    </xf>
    <xf numFmtId="0" fontId="8" fillId="4" borderId="13" xfId="0" applyFont="1" applyFill="1" applyBorder="1" applyAlignment="1" applyProtection="1">
      <alignment horizontal="center" vertical="center"/>
    </xf>
    <xf numFmtId="0" fontId="12" fillId="4" borderId="0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Border="1" applyAlignment="1" applyProtection="1">
      <alignment vertical="center"/>
    </xf>
    <xf numFmtId="0" fontId="2" fillId="4" borderId="4" xfId="0" applyFont="1" applyFill="1" applyBorder="1" applyAlignment="1" applyProtection="1">
      <alignment vertical="center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9" fillId="4" borderId="0" xfId="0" applyFont="1" applyFill="1" applyBorder="1" applyAlignment="1" applyProtection="1">
      <alignment horizontal="left"/>
    </xf>
    <xf numFmtId="0" fontId="12" fillId="4" borderId="0" xfId="0" applyFont="1" applyFill="1" applyBorder="1" applyAlignment="1" applyProtection="1">
      <alignment horizontal="right"/>
    </xf>
    <xf numFmtId="0" fontId="9" fillId="4" borderId="0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vertical="center"/>
    </xf>
    <xf numFmtId="0" fontId="13" fillId="4" borderId="0" xfId="0" applyFont="1" applyFill="1" applyBorder="1" applyProtection="1"/>
    <xf numFmtId="0" fontId="5" fillId="7" borderId="7" xfId="0" applyFont="1" applyFill="1" applyBorder="1" applyAlignment="1" applyProtection="1">
      <alignment horizontal="right" vertical="center"/>
    </xf>
    <xf numFmtId="0" fontId="2" fillId="7" borderId="7" xfId="0" applyFont="1" applyFill="1" applyBorder="1" applyAlignment="1" applyProtection="1">
      <alignment horizontal="center" vertical="center" wrapText="1"/>
    </xf>
    <xf numFmtId="0" fontId="2" fillId="7" borderId="2" xfId="0" applyFont="1" applyFill="1" applyBorder="1" applyAlignment="1" applyProtection="1">
      <alignment horizontal="center" vertical="center" wrapText="1"/>
    </xf>
    <xf numFmtId="0" fontId="6" fillId="7" borderId="3" xfId="0" applyFont="1" applyFill="1" applyBorder="1" applyAlignment="1" applyProtection="1">
      <alignment horizontal="center" vertical="center"/>
    </xf>
    <xf numFmtId="0" fontId="2" fillId="7" borderId="9" xfId="0" applyFont="1" applyFill="1" applyBorder="1" applyAlignment="1" applyProtection="1">
      <alignment horizontal="right" vertical="center"/>
    </xf>
    <xf numFmtId="0" fontId="2" fillId="7" borderId="7" xfId="0" applyFont="1" applyFill="1" applyBorder="1" applyAlignment="1" applyProtection="1">
      <alignment horizontal="right" vertical="center"/>
    </xf>
    <xf numFmtId="0" fontId="2" fillId="7" borderId="4" xfId="0" applyFont="1" applyFill="1" applyBorder="1" applyAlignment="1" applyProtection="1">
      <alignment horizontal="right" vertical="center"/>
    </xf>
    <xf numFmtId="0" fontId="7" fillId="7" borderId="3" xfId="0" applyFont="1" applyFill="1" applyBorder="1" applyAlignment="1" applyProtection="1">
      <alignment horizontal="right" vertical="center"/>
    </xf>
    <xf numFmtId="0" fontId="2" fillId="7" borderId="9" xfId="0" applyFont="1" applyFill="1" applyBorder="1" applyAlignment="1" applyProtection="1">
      <alignment horizontal="center" vertical="center"/>
    </xf>
    <xf numFmtId="9" fontId="2" fillId="7" borderId="7" xfId="0" applyNumberFormat="1" applyFont="1" applyFill="1" applyBorder="1" applyAlignment="1" applyProtection="1">
      <alignment horizontal="center" vertical="center"/>
    </xf>
    <xf numFmtId="0" fontId="7" fillId="7" borderId="7" xfId="0" applyFont="1" applyFill="1" applyBorder="1" applyAlignment="1" applyProtection="1">
      <alignment horizontal="center" vertical="center"/>
    </xf>
    <xf numFmtId="0" fontId="2" fillId="7" borderId="9" xfId="0" applyFont="1" applyFill="1" applyBorder="1" applyAlignment="1" applyProtection="1">
      <alignment horizontal="center" wrapText="1"/>
    </xf>
    <xf numFmtId="0" fontId="2" fillId="7" borderId="10" xfId="0" applyFont="1" applyFill="1" applyBorder="1" applyAlignment="1" applyProtection="1">
      <alignment horizontal="right" vertical="center" wrapText="1"/>
    </xf>
    <xf numFmtId="0" fontId="2" fillId="3" borderId="13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center"/>
    </xf>
    <xf numFmtId="0" fontId="14" fillId="4" borderId="13" xfId="0" quotePrefix="1" applyFont="1" applyFill="1" applyBorder="1" applyAlignment="1" applyProtection="1">
      <alignment horizontal="center" vertical="center"/>
    </xf>
    <xf numFmtId="0" fontId="14" fillId="4" borderId="13" xfId="0" applyFont="1" applyFill="1" applyBorder="1" applyAlignment="1" applyProtection="1">
      <alignment horizontal="center" vertical="center"/>
    </xf>
    <xf numFmtId="0" fontId="15" fillId="4" borderId="0" xfId="0" applyFont="1" applyFill="1" applyAlignment="1" applyProtection="1">
      <alignment vertical="center"/>
    </xf>
    <xf numFmtId="0" fontId="16" fillId="4" borderId="0" xfId="0" applyFont="1" applyFill="1" applyAlignment="1" applyProtection="1">
      <alignment vertical="center"/>
    </xf>
    <xf numFmtId="0" fontId="16" fillId="4" borderId="0" xfId="0" applyFont="1" applyFill="1" applyProtection="1"/>
    <xf numFmtId="0" fontId="12" fillId="4" borderId="0" xfId="0" applyFont="1" applyFill="1" applyBorder="1" applyAlignment="1" applyProtection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3" fillId="4" borderId="13" xfId="0" quotePrefix="1" applyFont="1" applyFill="1" applyBorder="1" applyAlignment="1" applyProtection="1">
      <alignment horizontal="center" vertical="center"/>
    </xf>
    <xf numFmtId="0" fontId="10" fillId="4" borderId="0" xfId="0" applyFont="1" applyFill="1" applyAlignment="1" applyProtection="1">
      <alignment horizontal="left" vertical="center" wrapText="1"/>
    </xf>
    <xf numFmtId="0" fontId="9" fillId="4" borderId="0" xfId="0" applyFont="1" applyFill="1" applyBorder="1" applyAlignment="1" applyProtection="1">
      <alignment horizontal="center" wrapText="1"/>
    </xf>
    <xf numFmtId="0" fontId="5" fillId="7" borderId="3" xfId="0" applyFont="1" applyFill="1" applyBorder="1" applyAlignment="1" applyProtection="1">
      <alignment horizontal="center" vertical="center" wrapText="1"/>
    </xf>
    <xf numFmtId="0" fontId="9" fillId="4" borderId="5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 vertical="center"/>
    </xf>
    <xf numFmtId="0" fontId="2" fillId="6" borderId="7" xfId="0" applyFont="1" applyFill="1" applyBorder="1" applyAlignment="1" applyProtection="1">
      <alignment horizontal="center" vertical="center" wrapText="1"/>
      <protection locked="0"/>
    </xf>
    <xf numFmtId="0" fontId="2" fillId="6" borderId="7" xfId="0" applyFont="1" applyFill="1" applyBorder="1" applyProtection="1">
      <protection locked="0"/>
    </xf>
    <xf numFmtId="0" fontId="9" fillId="4" borderId="1" xfId="0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AEAEA"/>
      <color rgb="FFCCFFFF"/>
      <color rgb="FFC3E1FF"/>
      <color rgb="FF99CCFF"/>
      <color rgb="FF0000CC"/>
      <color rgb="FFFFFF99"/>
      <color rgb="FF66FF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13</xdr:col>
          <xdr:colOff>476250</xdr:colOff>
          <xdr:row>171</xdr:row>
          <xdr:rowOff>85725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0</xdr:colOff>
      <xdr:row>8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3B156685-2A27-4A0C-9648-80CBFA59D42F}"/>
            </a:ext>
          </a:extLst>
        </xdr:cNvPr>
        <xdr:cNvGrpSpPr>
          <a:grpSpLocks/>
        </xdr:cNvGrpSpPr>
      </xdr:nvGrpSpPr>
      <xdr:grpSpPr bwMode="auto">
        <a:xfrm>
          <a:off x="3055327" y="337038"/>
          <a:ext cx="3590192" cy="1333500"/>
          <a:chOff x="364" y="70"/>
          <a:chExt cx="376" cy="134"/>
        </a:xfrm>
      </xdr:grpSpPr>
      <xdr:sp macro="" textlink="">
        <xdr:nvSpPr>
          <xdr:cNvPr id="3" name="AutoShape 32">
            <a:extLst>
              <a:ext uri="{FF2B5EF4-FFF2-40B4-BE49-F238E27FC236}">
                <a16:creationId xmlns:a16="http://schemas.microsoft.com/office/drawing/2014/main" id="{DA097E01-E960-4D37-8C1E-E42C7F1D26F4}"/>
              </a:ext>
            </a:extLst>
          </xdr:cNvPr>
          <xdr:cNvSpPr>
            <a:spLocks noChangeArrowheads="1"/>
          </xdr:cNvSpPr>
        </xdr:nvSpPr>
        <xdr:spPr bwMode="auto">
          <a:xfrm>
            <a:off x="364" y="70"/>
            <a:ext cx="376" cy="134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</xdr:spPr>
      </xdr:sp>
      <xdr:sp macro="" textlink="">
        <xdr:nvSpPr>
          <xdr:cNvPr id="4" name="Rectangle 33">
            <a:extLst>
              <a:ext uri="{FF2B5EF4-FFF2-40B4-BE49-F238E27FC236}">
                <a16:creationId xmlns:a16="http://schemas.microsoft.com/office/drawing/2014/main" id="{EC46ACEC-B134-41EF-9363-75B36072A091}"/>
              </a:ext>
            </a:extLst>
          </xdr:cNvPr>
          <xdr:cNvSpPr>
            <a:spLocks noChangeArrowheads="1"/>
          </xdr:cNvSpPr>
        </xdr:nvSpPr>
        <xdr:spPr bwMode="auto">
          <a:xfrm>
            <a:off x="422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5" name="Rectangle 34">
            <a:extLst>
              <a:ext uri="{FF2B5EF4-FFF2-40B4-BE49-F238E27FC236}">
                <a16:creationId xmlns:a16="http://schemas.microsoft.com/office/drawing/2014/main" id="{F445F93D-0207-4BAD-A46F-CBDD5B350CB1}"/>
              </a:ext>
            </a:extLst>
          </xdr:cNvPr>
          <xdr:cNvSpPr>
            <a:spLocks noChangeArrowheads="1"/>
          </xdr:cNvSpPr>
        </xdr:nvSpPr>
        <xdr:spPr bwMode="auto">
          <a:xfrm>
            <a:off x="45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-</a:t>
            </a:r>
          </a:p>
        </xdr:txBody>
      </xdr:sp>
      <xdr:sp macro="" textlink="">
        <xdr:nvSpPr>
          <xdr:cNvPr id="6" name="Rectangle 35">
            <a:extLst>
              <a:ext uri="{FF2B5EF4-FFF2-40B4-BE49-F238E27FC236}">
                <a16:creationId xmlns:a16="http://schemas.microsoft.com/office/drawing/2014/main" id="{7255F346-0704-421E-BAFD-EEE1EF4A17F1}"/>
              </a:ext>
            </a:extLst>
          </xdr:cNvPr>
          <xdr:cNvSpPr>
            <a:spLocks noChangeArrowheads="1"/>
          </xdr:cNvSpPr>
        </xdr:nvSpPr>
        <xdr:spPr bwMode="auto">
          <a:xfrm>
            <a:off x="49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7" name="Rectangle 36">
            <a:extLst>
              <a:ext uri="{FF2B5EF4-FFF2-40B4-BE49-F238E27FC236}">
                <a16:creationId xmlns:a16="http://schemas.microsoft.com/office/drawing/2014/main" id="{F5996035-003B-4D9E-B94F-4417897412A7}"/>
              </a:ext>
            </a:extLst>
          </xdr:cNvPr>
          <xdr:cNvSpPr>
            <a:spLocks noChangeArrowheads="1"/>
          </xdr:cNvSpPr>
        </xdr:nvSpPr>
        <xdr:spPr bwMode="auto">
          <a:xfrm>
            <a:off x="497" y="115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-</a:t>
            </a:r>
          </a:p>
        </xdr:txBody>
      </xdr:sp>
      <xdr:sp macro="" textlink="">
        <xdr:nvSpPr>
          <xdr:cNvPr id="8" name="Rectangle 37">
            <a:extLst>
              <a:ext uri="{FF2B5EF4-FFF2-40B4-BE49-F238E27FC236}">
                <a16:creationId xmlns:a16="http://schemas.microsoft.com/office/drawing/2014/main" id="{9E639F52-1E22-4CEB-A7A8-F1A3D4CF6BC6}"/>
              </a:ext>
            </a:extLst>
          </xdr:cNvPr>
          <xdr:cNvSpPr>
            <a:spLocks noChangeArrowheads="1"/>
          </xdr:cNvSpPr>
        </xdr:nvSpPr>
        <xdr:spPr bwMode="auto">
          <a:xfrm>
            <a:off x="534" y="141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9" name="Rectangle 38">
            <a:extLst>
              <a:ext uri="{FF2B5EF4-FFF2-40B4-BE49-F238E27FC236}">
                <a16:creationId xmlns:a16="http://schemas.microsoft.com/office/drawing/2014/main" id="{E5FAB9E3-E8D9-4D7E-A853-1CB61AAB9D83}"/>
              </a:ext>
            </a:extLst>
          </xdr:cNvPr>
          <xdr:cNvSpPr>
            <a:spLocks noChangeArrowheads="1"/>
          </xdr:cNvSpPr>
        </xdr:nvSpPr>
        <xdr:spPr bwMode="auto">
          <a:xfrm>
            <a:off x="571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-</a:t>
            </a:r>
          </a:p>
        </xdr:txBody>
      </xdr:sp>
      <xdr:sp macro="" textlink="">
        <xdr:nvSpPr>
          <xdr:cNvPr id="10" name="Rectangle 39">
            <a:extLst>
              <a:ext uri="{FF2B5EF4-FFF2-40B4-BE49-F238E27FC236}">
                <a16:creationId xmlns:a16="http://schemas.microsoft.com/office/drawing/2014/main" id="{06D06632-60DE-41BD-B23C-F9FD073DB76E}"/>
              </a:ext>
            </a:extLst>
          </xdr:cNvPr>
          <xdr:cNvSpPr>
            <a:spLocks noChangeArrowheads="1"/>
          </xdr:cNvSpPr>
        </xdr:nvSpPr>
        <xdr:spPr bwMode="auto">
          <a:xfrm>
            <a:off x="534" y="8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11" name="Rectangle 40">
            <a:extLst>
              <a:ext uri="{FF2B5EF4-FFF2-40B4-BE49-F238E27FC236}">
                <a16:creationId xmlns:a16="http://schemas.microsoft.com/office/drawing/2014/main" id="{C93907D5-8D39-4998-A613-88DD577C5D65}"/>
              </a:ext>
            </a:extLst>
          </xdr:cNvPr>
          <xdr:cNvSpPr>
            <a:spLocks noChangeArrowheads="1"/>
          </xdr:cNvSpPr>
        </xdr:nvSpPr>
        <xdr:spPr bwMode="auto">
          <a:xfrm>
            <a:off x="571" y="114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-</a:t>
            </a:r>
          </a:p>
        </xdr:txBody>
      </xdr:sp>
      <xdr:sp macro="" textlink="">
        <xdr:nvSpPr>
          <xdr:cNvPr id="12" name="Rectangle 41">
            <a:extLst>
              <a:ext uri="{FF2B5EF4-FFF2-40B4-BE49-F238E27FC236}">
                <a16:creationId xmlns:a16="http://schemas.microsoft.com/office/drawing/2014/main" id="{A4A81D42-7B69-44F9-B33E-E667C59C422C}"/>
              </a:ext>
            </a:extLst>
          </xdr:cNvPr>
          <xdr:cNvSpPr>
            <a:spLocks noChangeArrowheads="1"/>
          </xdr:cNvSpPr>
        </xdr:nvSpPr>
        <xdr:spPr bwMode="auto">
          <a:xfrm>
            <a:off x="60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13" name="Rectangle 42">
            <a:extLst>
              <a:ext uri="{FF2B5EF4-FFF2-40B4-BE49-F238E27FC236}">
                <a16:creationId xmlns:a16="http://schemas.microsoft.com/office/drawing/2014/main" id="{35E9C955-50B0-4E95-B84E-E20B4E727DE4}"/>
              </a:ext>
            </a:extLst>
          </xdr:cNvPr>
          <xdr:cNvSpPr>
            <a:spLocks noChangeArrowheads="1"/>
          </xdr:cNvSpPr>
        </xdr:nvSpPr>
        <xdr:spPr bwMode="auto">
          <a:xfrm>
            <a:off x="64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-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saadeddin/Desktop/QFD/House%20of%20Quality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 refreshError="1"/>
      <sheetData sheetId="1">
        <row r="2">
          <cell r="C2" t="str">
            <v>┼┼</v>
          </cell>
        </row>
        <row r="3">
          <cell r="C3" t="str">
            <v>┼</v>
          </cell>
        </row>
        <row r="4">
          <cell r="C4" t="str">
            <v>▬</v>
          </cell>
        </row>
        <row r="5">
          <cell r="C5" t="str">
            <v>▼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1.vsd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55" workbookViewId="0">
      <selection activeCell="R12" sqref="R12"/>
    </sheetView>
  </sheetViews>
  <sheetFormatPr defaultRowHeight="12.75" x14ac:dyDescent="0.2"/>
  <sheetData/>
  <pageMargins left="0.7" right="0.7" top="0.75" bottom="0.75" header="0.3" footer="0.3"/>
  <pageSetup paperSize="9" scale="69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3073" r:id="rId4">
          <objectPr defaultSize="0" r:id="rId5">
            <anchor moveWithCells="1">
              <from>
                <xdr:col>2</xdr:col>
                <xdr:colOff>0</xdr:colOff>
                <xdr:row>4</xdr:row>
                <xdr:rowOff>0</xdr:rowOff>
              </from>
              <to>
                <xdr:col>13</xdr:col>
                <xdr:colOff>476250</xdr:colOff>
                <xdr:row>171</xdr:row>
                <xdr:rowOff>85725</xdr:rowOff>
              </to>
            </anchor>
          </objectPr>
        </oleObject>
      </mc:Choice>
      <mc:Fallback>
        <oleObject progId="Visio.Drawing.15" shapeId="3073" r:id="rId4"/>
      </mc:Fallback>
    </mc:AlternateContent>
  </oleObjec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M40"/>
  <sheetViews>
    <sheetView showGridLines="0" tabSelected="1" zoomScale="130" zoomScaleNormal="130" workbookViewId="0">
      <selection activeCell="I21" sqref="I21"/>
    </sheetView>
  </sheetViews>
  <sheetFormatPr defaultColWidth="8.85546875" defaultRowHeight="12" ns2:dyDescent="0.2"/>
  <cols>
    <col min="1" max="1" width="2.7109375" style="8" customWidth="1"/>
    <col min="2" max="2" width="12.28515625" style="8" customWidth="1"/>
    <col min="3" max="3" width="30.7109375" style="8" customWidth="1"/>
    <col min="4" max="9" width="10.7109375" style="8" customWidth="1"/>
    <col min="10" max="13" width="11.5703125" style="8" customWidth="1"/>
    <col min="14" max="14" width="2.7109375" style="8" customWidth="1"/>
    <col min="15" max="16384" width="8.85546875" style="8"/>
  </cols>
  <sheetData>
    <row r="1" spans="1:13" ht="26.25" ns2:dyDescent="0.4">
      <c r="B1" s="47" t="s">
        <v>4</v>
      </c>
    </row>
    <row r="2" spans="1:13" ht="15" customHeight="1" ns2:dyDescent="0.2">
      <c r="B2" s="3"/>
      <c r="G2" s="27"/>
      <c r="H2" s="27"/>
      <c r="K2" s="28"/>
      <c r="L2" s="29"/>
    </row>
    <row r="3" spans="1:13" ht="15" customHeight="1" ns2:dyDescent="0.2">
      <c r="B3" s="69" t="s">
        <v>6</v>
      </c>
      <c r="C3" s="61" t="inlineStr">
        <is>
          <t>Беспроводные наушники для студентов</t>
        </is>
      </c>
      <c r="D3" s="3"/>
      <c r="E3" s="27"/>
      <c r="F3" s="30"/>
      <c r="G3" s="3"/>
      <c r="J3" s="62" t="s">
        <v>5</v>
      </c>
      <c r="K3" s="31"/>
      <c r="L3" s="32"/>
    </row>
    <row r="4" spans="1:13" ht="15" customHeight="1" ns2:dyDescent="0.2">
      <c r="B4" s="69" t="s">
        <v>7</v>
      </c>
      <c r="C4" s="61" t="inlineStr">
        <is>
          <t>Студент</t>
        </is>
      </c>
      <c r="D4" s="3"/>
      <c r="E4" s="27"/>
      <c r="F4" s="30"/>
      <c r="G4" s="3"/>
      <c r="J4" s="63" t="s">
        <v>1</v>
      </c>
      <c r="K4" s="64" t="s">
        <v>2</v>
      </c>
      <c r="L4" s="63" t="s">
        <v>3</v>
      </c>
    </row>
    <row r="5" spans="1:13" ht="15" customHeight="1" ns2:dyDescent="0.2">
      <c r="B5" s="3" t="s">
        <v>8</v>
      </c>
      <c r="C5" s="61" t="inlineStr">
        <is>
          <t>13.10.2026</t>
        </is>
      </c>
      <c r="D5" s="3"/>
      <c r="E5" s="27"/>
      <c r="F5" s="30"/>
      <c r="G5" s="3"/>
      <c r="J5" s="70" t="s">
        <v>9</v>
      </c>
      <c r="K5" s="1" t="s">
        <v>11</v>
      </c>
      <c r="L5" s="70" t="s">
        <v>12</v>
      </c>
    </row>
    <row r="6" spans="1:13" ht="15" customHeight="1" ns2:dyDescent="0.2">
      <c r="B6" s="3" t="s">
        <v>10</v>
      </c>
      <c r="C6" s="61" t="inlineStr">
        <is>
          <t>Разработка</t>
        </is>
      </c>
      <c r="D6" s="3"/>
      <c r="E6" s="27"/>
      <c r="F6" s="30"/>
      <c r="G6" s="3"/>
      <c r="K6" s="31"/>
      <c r="L6" s="32"/>
    </row>
    <row r="7" spans="1:13" ht="15" customHeight="1" ns2:dyDescent="0.2">
      <c r="B7" s="3"/>
      <c r="C7" s="4"/>
      <c r="D7" s="3"/>
      <c r="E7" s="27"/>
      <c r="F7" s="30"/>
      <c r="G7" s="3"/>
      <c r="J7" s="71" t="s">
        <v>18</v>
      </c>
      <c r="K7" s="31"/>
      <c r="L7" s="32"/>
    </row>
    <row r="8" spans="1:13" ht="15" customHeight="1" ns2:dyDescent="0.2">
      <c r="B8" s="3"/>
      <c r="C8" s="27"/>
      <c r="D8" s="3"/>
      <c r="E8" s="27"/>
      <c r="F8" s="30"/>
      <c r="G8" s="3"/>
      <c r="H8" s="27"/>
      <c r="J8" s="33">
        <v>9</v>
      </c>
      <c r="K8" s="33">
        <v>3</v>
      </c>
      <c r="L8" s="33">
        <v>1</v>
      </c>
      <c r="M8" s="33"/>
    </row>
    <row r="9" spans="1:13" ht="15" customHeight="1" ns2:dyDescent="0.2">
      <c r="B9" s="3"/>
      <c r="C9" s="48" t="s">
        <v>21</v>
      </c>
      <c r="D9" s="12" t="inlineStr">
        <is>
          <t>↓</t>
        </is>
      </c>
      <c r="E9" s="13" t="inlineStr">
        <is>
          <t>↑</t>
        </is>
      </c>
      <c r="F9" s="13" t="inlineStr">
        <is>
          <t>↓</t>
        </is>
      </c>
      <c r="G9" s="13" t="inlineStr">
        <is>
          <t>↑</t>
        </is>
      </c>
      <c r="H9" s="13" t="inlineStr">
        <is>
          <t>↑</t>
        </is>
      </c>
      <c r="J9" s="34" t="s">
        <v>14</v>
      </c>
      <c r="K9" s="34" t="s">
        <v>15</v>
      </c>
      <c r="L9" s="34" t="s">
        <v>16</v>
      </c>
      <c r="M9" s="34" t="s">
        <v>17</v>
      </c>
    </row>
    <row r="10" spans="1:13" ht="24" ns2:dyDescent="0.2">
      <c r="A10" s="26"/>
      <c r="B10" s="72" t="s">
        <v>20</v>
      </c>
      <c r="C10" s="60" t="s">
        <v>22</v>
      </c>
      <c r="D10" s="76" t="inlineStr">
        <is>
          <t>Цена, ₽</t>
        </is>
      </c>
      <c r="E10" s="76" t="inlineStr">
        <is>
          <t>Автономность, ч</t>
        </is>
      </c>
      <c r="F10" s="76" t="inlineStr">
        <is>
          <t>Масса и комфорт, г/балл</t>
        </is>
      </c>
      <c r="G10" s="76" t="inlineStr">
        <is>
          <t>Качество звука, драйвер мм</t>
        </is>
      </c>
      <c r="H10" s="76" t="inlineStr">
        <is>
          <t>Шумоизоляция и микрофоны, балл</t>
        </is>
      </c>
      <c r="I10" s="26"/>
      <c r="J10" s="78" t="s">
        <v>13</v>
      </c>
      <c r="K10" s="78"/>
      <c r="L10" s="78"/>
      <c r="M10" s="78"/>
    </row>
    <row r="11" spans="1:13" ht="36" ns2:dyDescent="0.2">
      <c r="A11" s="35"/>
      <c r="B11" s="49" t="s">
        <v>19</v>
      </c>
      <c r="C11" s="59" t="s">
        <v>23</v>
      </c>
      <c r="D11" s="77"/>
      <c r="E11" s="77"/>
      <c r="F11" s="77"/>
      <c r="G11" s="77"/>
      <c r="H11" s="77"/>
      <c r="I11" s="73" t="s">
        <v>31</v>
      </c>
      <c r="J11" s="50" t="inlineStr">
        <is>
          <t>Целевая модель</t>
        </is>
      </c>
      <c r="K11" s="49" t="inlineStr">
        <is>
          <t>JBL Tune 520BT</t>
        </is>
      </c>
      <c r="L11" s="49" t="inlineStr">
        <is>
          <t>Sony WH-CH520</t>
        </is>
      </c>
      <c r="M11" s="49" t="inlineStr">
        <is>
          <t>Anker Soundcore Q20i</t>
        </is>
      </c>
    </row>
    <row r="12" spans="1:13" ht="15" customHeight="1" ns2:dyDescent="0.2">
      <c r="A12" s="68">
        <v>1</v>
      </c>
      <c r="B12" s="14">
        <v>5</v>
      </c>
      <c r="C12" s="9" t="inlineStr">
        <is>
          <t>Доступная цена для студента</t>
        </is>
      </c>
      <c r="D12" s="39">
        <v>9</v>
      </c>
      <c r="E12" s="39">
        <v>1</v>
      </c>
      <c r="F12" s="39">
        <v>1</v>
      </c>
      <c r="G12" s="39">
        <v>1</v>
      </c>
      <c r="H12" s="39">
        <v>1</v>
      </c>
      <c r="I12" s="51">
        <f>J12/MAX(K12:M12)</f>
        <v>1.25</v>
      </c>
      <c r="J12" s="36">
        <v>5</v>
      </c>
      <c r="K12" s="37">
        <v>4</v>
      </c>
      <c r="L12" s="36">
        <v>3</v>
      </c>
      <c r="M12" s="37">
        <v>3</v>
      </c>
    </row>
    <row r="13" spans="1:13" ht="15" customHeight="1" ns2:dyDescent="0.2">
      <c r="A13" s="68">
        <v>2</v>
      </c>
      <c r="B13" s="14">
        <v>5</v>
      </c>
      <c r="C13" s="10" t="inlineStr">
        <is>
          <t>Долгая работа без подзарядки</t>
        </is>
      </c>
      <c r="D13" s="39">
        <v>1</v>
      </c>
      <c r="E13" s="39">
        <v>9</v>
      </c>
      <c r="F13" s="39">
        <v>1</v>
      </c>
      <c r="G13" s="39">
        <v>1</v>
      </c>
      <c r="H13" s="39">
        <v>3</v>
      </c>
      <c r="I13" s="51">
        <f>J13/MAX(K13:M13)</f>
        <v>0.8</v>
      </c>
      <c r="J13" s="38">
        <v>4</v>
      </c>
      <c r="K13" s="39">
        <v>5</v>
      </c>
      <c r="L13" s="38">
        <v>5</v>
      </c>
      <c r="M13" s="39">
        <v>5</v>
      </c>
    </row>
    <row r="14" spans="1:13" ht="15" customHeight="1" ns2:dyDescent="0.2">
      <c r="A14" s="68">
        <v>3</v>
      </c>
      <c r="B14" s="14">
        <v>5</v>
      </c>
      <c r="C14" s="10" t="inlineStr">
        <is>
          <t>Комфорт при длительном ношении</t>
        </is>
      </c>
      <c r="D14" s="39">
        <v>1</v>
      </c>
      <c r="E14" s="39">
        <v>3</v>
      </c>
      <c r="F14" s="39">
        <v>9</v>
      </c>
      <c r="G14" s="39">
        <v>3</v>
      </c>
      <c r="H14" s="39">
        <v>1</v>
      </c>
      <c r="I14" s="51">
        <f>J14/MAX(K14:M14)</f>
        <v>1</v>
      </c>
      <c r="J14" s="38">
        <v>4</v>
      </c>
      <c r="K14" s="39">
        <v>4</v>
      </c>
      <c r="L14" s="38">
        <v>4</v>
      </c>
      <c r="M14" s="39">
        <v>4</v>
      </c>
    </row>
    <row r="15" spans="1:13" ht="15" customHeight="1" ns2:dyDescent="0.2">
      <c r="A15" s="68">
        <v>4</v>
      </c>
      <c r="B15" s="14">
        <v>4</v>
      </c>
      <c r="C15" s="10" t="inlineStr">
        <is>
          <t>Качественный звук для учебы и музыки</t>
        </is>
      </c>
      <c r="D15" s="39">
        <v>1</v>
      </c>
      <c r="E15" s="39">
        <v>1</v>
      </c>
      <c r="F15" s="39">
        <v>3</v>
      </c>
      <c r="G15" s="39">
        <v>9</v>
      </c>
      <c r="H15" s="39">
        <v>3</v>
      </c>
      <c r="I15" s="51">
        <f>J15/MAX(K15:M15)</f>
        <v>1</v>
      </c>
      <c r="J15" s="38">
        <v>4</v>
      </c>
      <c r="K15" s="39">
        <v>4</v>
      </c>
      <c r="L15" s="38">
        <v>4</v>
      </c>
      <c r="M15" s="39">
        <v>4</v>
      </c>
    </row>
    <row r="16" spans="1:13" ht="15" customHeight="1" ns2:dyDescent="0.2">
      <c r="A16" s="68">
        <v>5</v>
      </c>
      <c r="B16" s="14">
        <v>4</v>
      </c>
      <c r="C16" s="10" t="inlineStr">
        <is>
          <t>Четкий микрофон для созвонов</t>
        </is>
      </c>
      <c r="D16" s="39">
        <v>1</v>
      </c>
      <c r="E16" s="39">
        <v>1</v>
      </c>
      <c r="F16" s="39">
        <v>3</v>
      </c>
      <c r="G16" s="39">
        <v>3</v>
      </c>
      <c r="H16" s="39">
        <v>9</v>
      </c>
      <c r="I16" s="51">
        <f>J16/MAX(K16:M16)</f>
        <v>0.5</v>
      </c>
      <c r="J16" s="38">
        <v>2</v>
      </c>
      <c r="K16" s="39">
        <v>3</v>
      </c>
      <c r="L16" s="38">
        <v>3</v>
      </c>
      <c r="M16" s="39">
        <v>4</v>
      </c>
    </row>
    <row r="17" spans="1:13" ht="15" customHeight="1" ns2:dyDescent="0.2">
      <c r="A17" s="68">
        <v>6</v>
      </c>
      <c r="B17" s="14">
        <v>4</v>
      </c>
      <c r="C17" s="10" t="inlineStr">
        <is>
          <t>Стабильное Bluetooth-подключение</t>
        </is>
      </c>
      <c r="D17" s="39">
        <v>1</v>
      </c>
      <c r="E17" s="39">
        <v>3</v>
      </c>
      <c r="F17" s="39">
        <v>1</v>
      </c>
      <c r="G17" s="39">
        <v>3</v>
      </c>
      <c r="H17" s="39">
        <v>9</v>
      </c>
      <c r="I17" s="51">
        <f>J17/MAX(K17:M17)</f>
        <v>0.8</v>
      </c>
      <c r="J17" s="38">
        <v>4</v>
      </c>
      <c r="K17" s="39">
        <v>4</v>
      </c>
      <c r="L17" s="38">
        <v>5</v>
      </c>
      <c r="M17" s="39">
        <v>4</v>
      </c>
    </row>
    <row r="18" spans="1:13" ht="15" customHeight="1" ns2:dyDescent="0.2">
      <c r="A18" s="68">
        <v>7</v>
      </c>
      <c r="B18" s="14">
        <v>4</v>
      </c>
      <c r="C18" s="10" t="inlineStr">
        <is>
          <t>Эффективная шумоизоляция в транспорте</t>
        </is>
      </c>
      <c r="D18" s="39">
        <v>1</v>
      </c>
      <c r="E18" s="39">
        <v>3</v>
      </c>
      <c r="F18" s="39">
        <v>1</v>
      </c>
      <c r="G18" s="39">
        <v>3</v>
      </c>
      <c r="H18" s="39">
        <v>9</v>
      </c>
      <c r="I18" s="51">
        <f>J18/MAX(K18:M18)</f>
        <v>0.6</v>
      </c>
      <c r="J18" s="38">
        <v>3</v>
      </c>
      <c r="K18" s="39">
        <v>2</v>
      </c>
      <c r="L18" s="38">
        <v>2</v>
      </c>
      <c r="M18" s="39">
        <v>5</v>
      </c>
    </row>
    <row r="19" spans="1:13" ht="15" customHeight="1" ns2:dyDescent="0.2">
      <c r="A19" s="68">
        <v>8</v>
      </c>
      <c r="B19" s="14">
        <v>3</v>
      </c>
      <c r="C19" s="10" t="inlineStr">
        <is>
          <t>Прочность и надежность конструкции</t>
        </is>
      </c>
      <c r="D19" s="39">
        <v>3</v>
      </c>
      <c r="E19" s="39">
        <v>3</v>
      </c>
      <c r="F19" s="39">
        <v>3</v>
      </c>
      <c r="G19" s="39">
        <v>3</v>
      </c>
      <c r="H19" s="39">
        <v>3</v>
      </c>
      <c r="I19" s="51">
        <f>J19/MAX(K19:M19)</f>
        <v>1</v>
      </c>
      <c r="J19" s="38">
        <v>4</v>
      </c>
      <c r="K19" s="39">
        <v>4</v>
      </c>
      <c r="L19" s="38">
        <v>4</v>
      </c>
      <c r="M19" s="39">
        <v>4</v>
      </c>
    </row>
    <row r="20" spans="1:13" ht="15" customHeight="1" ns2:dyDescent="0.2">
      <c r="A20" s="68">
        <v>9</v>
      </c>
      <c r="B20" s="14">
        <v>3</v>
      </c>
      <c r="C20" s="10" t="inlineStr">
        <is>
          <t>Быстрая зарядка через USB-C</t>
        </is>
      </c>
      <c r="D20" s="39">
        <v>1</v>
      </c>
      <c r="E20" s="39">
        <v>9</v>
      </c>
      <c r="F20" s="39">
        <v>1</v>
      </c>
      <c r="G20" s="39">
        <v>1</v>
      </c>
      <c r="H20" s="39">
        <v>1</v>
      </c>
      <c r="I20" s="51">
        <f>J20/MAX(K20:M20)</f>
        <v>0.5</v>
      </c>
      <c r="J20" s="38">
        <v>2</v>
      </c>
      <c r="K20" s="39">
        <v>3</v>
      </c>
      <c r="L20" s="38">
        <v>4</v>
      </c>
      <c r="M20" s="39">
        <v>4</v>
      </c>
    </row>
    <row r="21" spans="1:13" ht="12.75" customHeight="1" ns2:dyDescent="0.2">
      <c r="A21" s="26"/>
      <c r="B21" s="40"/>
      <c r="C21" s="52" t="s">
        <v>24</v>
      </c>
      <c r="D21" s="56">
        <f>SUMPRODUCT($B$12:$B$20,D12:D20)</f>
        <v>83</v>
      </c>
      <c r="E21" s="56">
        <f>SUMPRODUCT($B$12:$B$20,E12:E20)</f>
        <v>133</v>
      </c>
      <c r="F21" s="56">
        <f>SUMPRODUCT($B$12:$B$20,F12:F20)</f>
        <v>99</v>
      </c>
      <c r="G21" s="56">
        <f>SUMPRODUCT($B$12:$B$20,G12:G20)</f>
        <v>109</v>
      </c>
      <c r="H21" s="56">
        <f>SUMPRODUCT($B$12:$B$20,H12:H20)</f>
        <v>157</v>
      </c>
      <c r="I21" s="5">
        <f>SUM(I12:I20)</f>
        <v>7.45</v>
      </c>
      <c r="J21" s="74"/>
      <c r="K21" s="74"/>
      <c r="L21" s="74"/>
      <c r="M21" s="74"/>
    </row>
    <row r="22" spans="1:13" ht="12.75" customHeight="1" ns2:dyDescent="0.2">
      <c r="A22" s="26"/>
      <c r="B22" s="40"/>
      <c r="C22" s="53" t="s">
        <v>25</v>
      </c>
      <c r="D22" s="57">
        <f>D21/$I$22</f>
        <v>0.142857</v>
      </c>
      <c r="E22" s="57">
        <f>E21/$I$22</f>
        <v>0.228916</v>
      </c>
      <c r="F22" s="57">
        <f>F21/$I$22</f>
        <v>0.170396</v>
      </c>
      <c r="G22" s="57">
        <f>G21/$I$22</f>
        <v>0.187608</v>
      </c>
      <c r="H22" s="57">
        <f>H21/$I$22</f>
        <v>0.270224</v>
      </c>
      <c r="I22" s="6">
        <f>SUM(D21:H21)</f>
        <v>581</v>
      </c>
    </row>
    <row r="23" spans="1:13" ht="12.75" customHeight="1" ns2:dyDescent="0.2">
      <c r="A23" s="26"/>
      <c r="B23" s="40"/>
      <c r="C23" s="53" t="s">
        <v>26</v>
      </c>
      <c r="D23" s="58">
        <f>RANK(D21,$D$21:$H$21,0)</f>
        <v>5</v>
      </c>
      <c r="E23" s="58">
        <f>RANK(E21,$D$21:$H$21,0)</f>
        <v>2</v>
      </c>
      <c r="F23" s="58">
        <f>RANK(F21,$D$21:$H$21,0)</f>
        <v>4</v>
      </c>
      <c r="G23" s="58">
        <f>RANK(G21,$D$21:$H$21,0)</f>
        <v>3</v>
      </c>
      <c r="H23" s="58">
        <f>RANK(H21,$D$21:$H$21,0)</f>
        <v>1</v>
      </c>
      <c r="I23" s="7"/>
    </row>
    <row r="24" spans="1:13" ht="12.75" customHeight="1" ns2:dyDescent="0.2">
      <c r="A24" s="26"/>
      <c r="B24" s="41"/>
      <c r="C24" s="54" t="s">
        <v>33</v>
      </c>
      <c r="D24" s="42">
        <f>SUMPRODUCT((($I$12:$I$20&lt;0.7)+0),D12:D20)</f>
        <v>3</v>
      </c>
      <c r="E24" s="42">
        <f>SUMPRODUCT((($I$12:$I$20&lt;0.7)+0),E12:E20)</f>
        <v>13</v>
      </c>
      <c r="F24" s="42">
        <f>SUMPRODUCT((($I$12:$I$20&lt;0.7)+0),F12:F20)</f>
        <v>5</v>
      </c>
      <c r="G24" s="42">
        <f>SUMPRODUCT((($I$12:$I$20&lt;0.7)+0),G12:G20)</f>
        <v>7</v>
      </c>
      <c r="H24" s="42">
        <f>SUMPRODUCT((($I$12:$I$20&lt;0.7)+0),H12:H20)</f>
        <v>19</v>
      </c>
      <c r="I24" s="7"/>
    </row>
    <row r="25" spans="1:13" ht="12.75" customHeight="1" ns2:dyDescent="0.2">
      <c r="A25" s="26"/>
      <c r="B25" s="41"/>
      <c r="C25" s="55" t="s">
        <v>27</v>
      </c>
      <c r="D25" s="11">
        <f>RANK(D24,$D$24:$H$24,0)</f>
        <v>5</v>
      </c>
      <c r="E25" s="11">
        <f>RANK(E24,$D$24:$H$24,0)</f>
        <v>2</v>
      </c>
      <c r="F25" s="11">
        <f>RANK(F24,$D$24:$H$24,0)</f>
        <v>4</v>
      </c>
      <c r="G25" s="11">
        <f>RANK(G24,$D$24:$H$24,0)</f>
        <v>3</v>
      </c>
      <c r="H25" s="11">
        <f>RANK(H24,$D$24:$H$24,0)</f>
        <v>1</v>
      </c>
      <c r="I25" s="43"/>
    </row>
    <row r="26" spans="1:13" ht="12.75" customHeight="1" ns2:dyDescent="0.2">
      <c r="A26" s="26"/>
      <c r="C26" s="44"/>
      <c r="D26" s="45"/>
      <c r="E26" s="45"/>
      <c r="F26" s="45"/>
      <c r="G26" s="45"/>
      <c r="H26" s="45"/>
      <c r="I26" s="26"/>
    </row>
    <row r="27" spans="1:13" ht="12.75" ns2:dyDescent="0.2">
      <c r="B27" s="2" t="s">
        <v>0</v>
      </c>
      <c r="C27" t="inlineStr">
        <is>
          <t>Приоритет улучшения: в первую очередь усилить шумоизоляцию и качество микрофонов, затем автономность; далее оптимизировать качество звука и массу без роста цены.</t>
        </is>
      </c>
    </row>
    <row r="28" spans="1:13" ns2:dyDescent="0.2">
      <c r="B28" s="15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8"/>
    </row>
    <row r="29" spans="1:13" ns2:dyDescent="0.2"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5"/>
    </row>
    <row r="30" spans="1:13" ns2:dyDescent="0.2"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/>
    </row>
    <row r="31" spans="1:13" ns2:dyDescent="0.2">
      <c r="B31" s="46"/>
      <c r="C31" s="46"/>
      <c r="D31" s="46"/>
      <c r="E31" s="46"/>
      <c r="F31" s="46"/>
      <c r="G31" s="46"/>
      <c r="H31" s="46"/>
    </row>
    <row r="32" spans="1:13" ht="15" ns2:dyDescent="0.2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</row>
    <row r="34" spans="2:2" ht="12.75" ns2:dyDescent="0.2">
      <c r="B34" s="65"/>
    </row>
    <row r="35" spans="2:2" ht="12.75" ns2:dyDescent="0.2">
      <c r="B35" s="66"/>
    </row>
    <row r="36" spans="2:2" ht="12.75" ns2:dyDescent="0.2">
      <c r="B36" s="66"/>
    </row>
    <row r="37" spans="2:2" ht="12.75" ns2:dyDescent="0.2">
      <c r="B37" s="66"/>
    </row>
    <row r="38" spans="2:2" ht="12.75" ns2:dyDescent="0.2">
      <c r="B38" s="66"/>
    </row>
    <row r="39" spans="2:2" ht="12.75" ns2:dyDescent="0.2">
      <c r="B39" s="65"/>
    </row>
    <row r="40" spans="2:2" ht="12.75" ns2:dyDescent="0.2">
      <c r="B40" s="67"/>
    </row>
  </sheetData>
  <mergeCells count="8">
    <mergeCell ref="J21:M21"/>
    <mergeCell ref="B32:M32"/>
    <mergeCell ref="D10:D11"/>
    <mergeCell ref="E10:E11"/>
    <mergeCell ref="F10:F11"/>
    <mergeCell ref="G10:G11"/>
    <mergeCell ref="H10:H11"/>
    <mergeCell ref="J10:M10"/>
  </mergeCells>
  <printOptions horizontalCentered="1" verticalCentered="1"/>
  <pageMargins left="0.1" right="0.1" top="0.1" bottom="0.1" header="0.2" footer="0.2"/>
  <pageSetup scale="95" orientation="landscape" ns3:id="rId1"/>
  <headerFooter alignWithMargins="0"/>
  <drawing ns3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Инструкция</vt:lpstr>
      <vt:lpstr>Дом качества</vt:lpstr>
      <vt:lpstr>'Дом качества'!Область_печати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lolo</dc:creator>
  <cp:lastModifiedBy>User</cp:lastModifiedBy>
  <cp:lastPrinted>2023-09-19T08:39:20Z</cp:lastPrinted>
  <dcterms:created xsi:type="dcterms:W3CDTF">1996-10-14T23:33:28Z</dcterms:created>
  <dcterms:modified xsi:type="dcterms:W3CDTF">2026-09-30T06:27:37Z</dcterms:modified>
</cp:coreProperties>
</file>